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SUCESOS" sheetId="3" state="visible" r:id="rId3"/>
    <sheet xmlns:r="http://schemas.openxmlformats.org/officeDocument/2006/relationships" name="GRAFICA" sheetId="4" state="visible" r:id="rId4"/>
  </sheets>
  <definedNames>
    <definedName name="_xlnm.Print_Area" localSheetId="0">'RESUMEN'!$A$1:$G$54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FFFFFFFF"/>
      <sz val="20"/>
    </font>
    <font>
      <i val="1"/>
      <color rgb="FFDCE6F1"/>
      <sz val="10"/>
    </font>
    <font>
      <color rgb="FF595959"/>
    </font>
    <font>
      <b val="1"/>
    </font>
    <font>
      <color rgb="FF595959"/>
      <sz val="10"/>
    </font>
    <font>
      <b val="1"/>
      <color rgb="FF1F4E79"/>
      <sz val="48"/>
    </font>
    <font>
      <color rgb="FF595959"/>
      <sz val="14"/>
    </font>
    <font>
      <b val="1"/>
      <color rgb="FF595959"/>
      <sz val="18"/>
    </font>
    <font>
      <i val="1"/>
      <color rgb="FF595959"/>
    </font>
    <font>
      <b val="1"/>
      <color rgb="FFFFFFFF"/>
    </font>
    <font>
      <b val="1"/>
      <sz val="10"/>
    </font>
    <font>
      <color rgb="FF595959"/>
      <sz val="9"/>
    </font>
    <font>
      <b val="1"/>
      <color rgb="FF9C0006"/>
      <sz val="10"/>
    </font>
    <font>
      <b val="1"/>
      <color rgb="FF9C6500"/>
      <sz val="10"/>
    </font>
    <font>
      <b val="1"/>
      <color rgb="FF375623"/>
      <sz val="10"/>
    </font>
    <font>
      <b val="1"/>
      <color rgb="FF006100"/>
      <sz val="10"/>
    </font>
    <font>
      <i val="1"/>
      <color rgb="FF595959"/>
      <sz val="9"/>
    </font>
    <font>
      <b val="1"/>
      <color rgb="FF1F4E79"/>
      <sz val="12"/>
    </font>
    <font>
      <i val="1"/>
      <color rgb="FF595959"/>
      <sz val="8.5"/>
    </font>
  </fonts>
  <fills count="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vertical="top"/>
    </xf>
    <xf numFmtId="0" fontId="11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1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top" wrapText="1"/>
    </xf>
    <xf numFmtId="0" fontId="18" fillId="0" borderId="0" pivotButton="0" quotePrefix="0" xfId="0"/>
    <xf numFmtId="0" fontId="19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FF006100"/>
        <sz val="18"/>
      </font>
      <fill>
        <patternFill patternType="solid">
          <fgColor rgb="FFC6EFCE"/>
        </patternFill>
      </fill>
    </dxf>
    <dxf>
      <font>
        <b val="1"/>
        <color rgb="FF375623"/>
        <sz val="18"/>
      </font>
      <fill>
        <patternFill patternType="solid">
          <fgColor rgb="FFE2EFDA"/>
        </patternFill>
      </fill>
    </dxf>
    <dxf>
      <font>
        <b val="1"/>
        <color rgb="FF9C6500"/>
        <sz val="18"/>
      </font>
      <fill>
        <patternFill patternType="solid">
          <fgColor rgb="FFFFEB9C"/>
        </patternFill>
      </fill>
    </dxf>
    <dxf>
      <font>
        <b val="1"/>
        <color rgb="FF9C0006"/>
        <sz val="18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del score (0–100) por evento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'EVENTOS'!K1</f>
            </strRef>
          </tx>
          <spPr>
            <a:ln xmlns:a="http://schemas.openxmlformats.org/drawingml/2006/main" w="3175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1F4E79"/>
                </a:solidFill>
                <a:prstDash val="solid"/>
              </a:ln>
            </spPr>
          </marker>
          <cat>
            <numRef>
              <f>'EVENTOS'!$A$2:$A$1001</f>
            </numRef>
          </cat>
          <val>
            <numRef>
              <f>'EVENTOS'!$K$2:$K$1001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crossAx val="10"/>
        <majorUnit val="20"/>
      </valAx>
    </plotArea>
    <plotVisOnly val="1"/>
    <dispBlanksAs val="span"/>
  </chart>
</chartSpace>
</file>

<file path=xl/charts/chart2.xml><?xml version="1.0" encoding="utf-8"?>
<chartSpace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'EVENTOS'!K1</f>
            </strRef>
          </tx>
          <spPr>
            <a:ln xmlns:a="http://schemas.openxmlformats.org/drawingml/2006/main" w="31750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1F4E79"/>
                </a:solidFill>
                <a:prstDash val="solid"/>
              </a:ln>
            </spPr>
          </marker>
          <cat>
            <numRef>
              <f>'EVENTOS'!$A$2:$A$1001</f>
            </numRef>
          </cat>
          <val>
            <numRef>
              <f>'EVENTOS'!$K$2:$K$1001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crossAx val="10"/>
        <majorUnit val="20"/>
      </valAx>
    </plotArea>
    <plotVisOnly val="1"/>
    <dispBlanksAs val="span"/>
  </chart>
</chartSpace>
</file>

<file path=xl/charts/chart3.xml><?xml version="1.0" encoding="utf-8"?>
<chartSpace xmlns="http://schemas.openxmlformats.org/drawingml/2006/chart">
  <chart>
    <plotArea>
      <lineChart>
        <grouping val="standard"/>
        <varyColors val="0"/>
        <ser>
          <idx val="0"/>
          <order val="0"/>
          <tx>
            <strRef>
              <f>'EVENTOS'!D1</f>
            </strRef>
          </tx>
          <spPr>
            <a:ln xmlns:a="http://schemas.openxmlformats.org/drawingml/2006/main" w="28575">
              <a:solidFill>
                <a:srgbClr val="1F4E79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1F4E79"/>
                </a:solidFill>
                <a:prstDash val="solid"/>
              </a:ln>
            </spPr>
          </marker>
          <cat>
            <numRef>
              <f>'EVENTOS'!$A$2:$A$1001</f>
            </numRef>
          </cat>
          <val>
            <numRef>
              <f>'EVENTOS'!$D$2:$D$1001</f>
            </numRef>
          </val>
          <smooth val="0"/>
        </ser>
        <ser>
          <idx val="1"/>
          <order val="1"/>
          <tx>
            <strRef>
              <f>'EVENTOS'!E1</f>
            </strRef>
          </tx>
          <spPr>
            <a:ln xmlns:a="http://schemas.openxmlformats.org/drawingml/2006/main" w="28575">
              <a:solidFill>
                <a:srgbClr val="C0392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C0392B"/>
                </a:solidFill>
                <a:prstDash val="solid"/>
              </a:ln>
            </spPr>
          </marker>
          <cat>
            <numRef>
              <f>'EVENTOS'!$A$2:$A$1001</f>
            </numRef>
          </cat>
          <val>
            <numRef>
              <f>'EVENTOS'!$E$2:$E$1001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D9D9D9"/>
              </a:solidFill>
              <a:prstDash val="solid"/>
            </a:ln>
          </spPr>
        </majorGridlines>
        <numFmt formatCode="General" sourceLinked="1"/>
        <majorTickMark val="none"/>
        <minorTickMark val="none"/>
        <tickLblPos val="nextTo"/>
        <crossAx val="10"/>
      </valAx>
    </plotArea>
    <legend>
      <legendPos val="r"/>
      <overlay val="0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34</row>
      <rowOff>0</rowOff>
    </from>
    <ext cx="68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Eventos" displayName="TablaEventos" ref="A1:O2" headerRowCount="1">
  <autoFilter ref="A1:O2"/>
  <tableColumns count="15">
    <tableColumn id="1" name="N°"/>
    <tableColumn id="2" name="Fecha y hora"/>
    <tableColumn id="3" name="Tipo / Causa"/>
    <tableColumn id="4" name="T transf (ms)"/>
    <tableColumn id="5" name="T retransf (ms)"/>
    <tableColumn id="6" name="V red antes (V)"/>
    <tableColumn id="7" name="V fuente entra (V)"/>
    <tableColumn id="8" name="Corriente (A)"/>
    <tableColumn id="9" name="Potencia (W)"/>
    <tableColumn id="10" name="Pen."/>
    <tableColumn id="11" name="Score"/>
    <tableColumn id="12" name="S (VA)"/>
    <tableColumn id="13" name="Q (var)"/>
    <tableColumn id="14" name="FP"/>
    <tableColumn id="15" name="Sin suministro (s)"/>
  </tableColumns>
  <tableStyleInfo name="TableStyleMedium2" showRowStripes="1"/>
</table>
</file>

<file path=xl/tables/table2.xml><?xml version="1.0" encoding="utf-8"?>
<table xmlns="http://schemas.openxmlformats.org/spreadsheetml/2006/main" id="2" name="TablaSucesos" displayName="TablaSucesos" ref="A1:H2" headerRowCount="1">
  <autoFilter ref="A1:H2"/>
  <tableColumns count="8">
    <tableColumn id="1" name="Fecha y hora"/>
    <tableColumn id="2" name="Fuente"/>
    <tableColumn id="3" name="Cambio"/>
    <tableColumn id="4" name="V"/>
    <tableColumn id="5" name="Hz"/>
    <tableColumn id="6" name="Duró (s)"/>
    <tableColumn id="7" name="Diagnóstico probable"/>
    <tableColumn id="8" name="F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5" customWidth="1" min="2" max="2"/>
    <col width="16" customWidth="1" min="3" max="3"/>
    <col width="16" customWidth="1" min="4" max="4"/>
    <col width="22" customWidth="1" min="5" max="5"/>
    <col width="24" customWidth="1" min="6" max="6"/>
    <col width="2.5" customWidth="1" min="7" max="7"/>
  </cols>
  <sheetData>
    <row r="2" ht="30" customHeight="1">
      <c r="B2" s="1" t="inlineStr">
        <is>
          <t>Reporte del ATS</t>
        </is>
      </c>
    </row>
    <row r="3" ht="16" customHeight="1">
      <c r="B3" s="3" t="inlineStr">
        <is>
          <t>Módulo Retrofit No Invasivo — INTEC Capstone Project II</t>
        </is>
      </c>
    </row>
    <row r="5">
      <c r="B5" s="4" t="inlineStr">
        <is>
          <t>Generado:</t>
        </is>
      </c>
      <c r="C5" s="5" t="n"/>
    </row>
    <row r="6">
      <c r="B6" s="6" t="inlineStr">
        <is>
          <t>Perfil de Rendimiento</t>
        </is>
      </c>
    </row>
    <row r="7">
      <c r="B7" s="7" t="n">
        <v>100</v>
      </c>
      <c r="D7" s="8" t="inlineStr">
        <is>
          <t>de 100</t>
        </is>
      </c>
      <c r="E7" s="9" t="inlineStr">
        <is>
          <t>OPTIMO</t>
        </is>
      </c>
    </row>
    <row r="8"/>
    <row r="9"/>
    <row r="10" ht="16" customHeight="1">
      <c r="B10" s="10">
        <f>IF(ISNUMBER(SEARCH("PTIM",E7)),"El ATS opera de forma óptima. No requiere ninguna acción.",IF(ISNUMBER(SEARCH("VIGIL",E7)),"El ATS funciona bien, con señales leves de desgaste. Conviene observarlo.",IF(ISNUMBER(SEARCH("ATENC",E7)),"El rendimiento está degradado. Se recomienda programar una revisión.",IF(ISNUMBER(SEARCH("CRIT",E7)),"Rendimiento crítico. El ATS requiere intervención inmediata.","Sin datos suficientes del perfil."))))</f>
        <v/>
      </c>
    </row>
    <row r="11">
      <c r="B11" s="4" t="inlineStr">
        <is>
          <t>Tendencia:</t>
        </is>
      </c>
      <c r="C11" s="5" t="n"/>
    </row>
    <row r="12">
      <c r="B12" s="4" t="inlineStr">
        <is>
          <t>Eventos registrados:</t>
        </is>
      </c>
      <c r="C12" s="5" t="n"/>
    </row>
    <row r="13">
      <c r="B13" s="4" t="inlineStr">
        <is>
          <t>Confianza del cálculo:</t>
        </is>
      </c>
      <c r="C13" s="5" t="n"/>
    </row>
    <row r="15" ht="20" customHeight="1">
      <c r="B15" s="11" t="inlineStr">
        <is>
          <t>ÚLTIMO EVENTO</t>
        </is>
      </c>
    </row>
    <row r="16">
      <c r="B16" s="12" t="inlineStr">
        <is>
          <t>Evento #</t>
        </is>
      </c>
      <c r="C16" s="13" t="n"/>
    </row>
    <row r="17">
      <c r="B17" s="12" t="inlineStr">
        <is>
          <t>Fecha y hora</t>
        </is>
      </c>
      <c r="C17" s="13" t="n"/>
    </row>
    <row r="18">
      <c r="B18" s="12" t="inlineStr">
        <is>
          <t>Causa estimada</t>
        </is>
      </c>
      <c r="C18" s="13" t="n"/>
    </row>
    <row r="19" ht="24" customHeight="1">
      <c r="B19" s="12" t="inlineStr">
        <is>
          <t>Posibles causas</t>
        </is>
      </c>
      <c r="C19" s="13" t="n"/>
    </row>
    <row r="20">
      <c r="B20" s="12" t="inlineStr">
        <is>
          <t>Tiempo de conmutación (ms)</t>
        </is>
      </c>
      <c r="C20" s="13" t="n"/>
    </row>
    <row r="21">
      <c r="B21" s="12" t="inlineStr">
        <is>
          <t>V red / V entrante (V)</t>
        </is>
      </c>
      <c r="C21" s="13" t="n"/>
    </row>
    <row r="22" ht="28" customHeight="1">
      <c r="B22" s="12" t="inlineStr">
        <is>
          <t>Lectura</t>
        </is>
      </c>
      <c r="C22" s="13" t="n"/>
    </row>
    <row r="24" ht="26" customHeight="1">
      <c r="B24" s="4" t="inlineStr">
        <is>
          <t>Línea base:</t>
        </is>
      </c>
      <c r="C24" s="15" t="n"/>
    </row>
    <row r="25" ht="18" customHeight="1">
      <c r="B25" s="16" t="inlineStr">
        <is>
          <t>Escala del perfil:</t>
        </is>
      </c>
      <c r="C25" s="17" t="inlineStr">
        <is>
          <t>Crítico &lt; 50</t>
        </is>
      </c>
      <c r="D25" s="18" t="inlineStr">
        <is>
          <t>Atención 50–69</t>
        </is>
      </c>
      <c r="E25" s="19" t="inlineStr">
        <is>
          <t>Vigilancia 70–89</t>
        </is>
      </c>
      <c r="F25" s="20" t="inlineStr">
        <is>
          <t>Óptimo ≥ 90</t>
        </is>
      </c>
    </row>
    <row r="27">
      <c r="B27" s="21" t="inlineStr">
        <is>
          <t>Nota: la causa es una estimación automática por reglas sobre los datos medidos. El score es una media móvil: se recupera de forma gradual con cada operación normal y baja cuando hay deterioro sostenido del ATS. La evidencia original permanece en la microSD del módulo.</t>
        </is>
      </c>
    </row>
    <row r="28"/>
    <row r="30" ht="20" customHeight="1">
      <c r="B30" s="11" t="inlineStr">
        <is>
          <t>ANÁLISIS PREDICTIVO DEL MECANISMO</t>
        </is>
      </c>
    </row>
    <row r="31" ht="30" customHeight="1">
      <c r="B31" s="12" t="inlineStr">
        <is>
          <t>Transferencia RED→GEN</t>
        </is>
      </c>
      <c r="C31" s="13" t="inlineStr">
        <is>
          <t>—</t>
        </is>
      </c>
    </row>
    <row r="32" ht="30" customHeight="1">
      <c r="B32" s="12" t="inlineStr">
        <is>
          <t>Retransferencia GEN→RED</t>
        </is>
      </c>
      <c r="C32" s="13" t="inlineStr">
        <is>
          <t>—</t>
        </is>
      </c>
    </row>
    <row r="33" ht="26" customHeight="1">
      <c r="B33" s="21" t="inlineStr">
        <is>
          <t>Método: Kalman (nivel y tendencia) + CUSUM (deterioro sostenido) + vida útil con confianza 90% — ISO 17359. Calculado en la PC al exportar.</t>
        </is>
      </c>
    </row>
    <row r="52" ht="34" customHeight="1">
      <c r="B52" s="23" t="inlineStr">
        <is>
          <t>Modelo: score por media móvil exponencial (EWMA) sobre la calidad de cada evento, con línea base robusta (mediana + IQR de 10 eventos). Normativa: ISO 17359 — monitoreo de condición de máquinas.</t>
        </is>
      </c>
    </row>
  </sheetData>
  <mergeCells count="21">
    <mergeCell ref="E7:F9"/>
    <mergeCell ref="C17:F17"/>
    <mergeCell ref="B7:C9"/>
    <mergeCell ref="B3:F3"/>
    <mergeCell ref="C32:F32"/>
    <mergeCell ref="C19:F19"/>
    <mergeCell ref="B52:F52"/>
    <mergeCell ref="C18:F18"/>
    <mergeCell ref="B2:F2"/>
    <mergeCell ref="C24:F24"/>
    <mergeCell ref="B10:F10"/>
    <mergeCell ref="C20:F20"/>
    <mergeCell ref="C16:F16"/>
    <mergeCell ref="B27:F28"/>
    <mergeCell ref="C22:F22"/>
    <mergeCell ref="B30:F30"/>
    <mergeCell ref="C31:F31"/>
    <mergeCell ref="B15:F15"/>
    <mergeCell ref="B33:F33"/>
    <mergeCell ref="C21:F21"/>
    <mergeCell ref="D7:D9"/>
  </mergeCells>
  <conditionalFormatting sqref="E7:F9">
    <cfRule type="containsText" priority="1" operator="containsText" dxfId="0" text="PTIM">
      <formula>NOT(ISERROR(SEARCH("PTIM",E7)))</formula>
    </cfRule>
    <cfRule type="containsText" priority="2" operator="containsText" dxfId="1" text="VIGIL">
      <formula>NOT(ISERROR(SEARCH("VIGIL",E7)))</formula>
    </cfRule>
    <cfRule type="containsText" priority="3" operator="containsText" dxfId="2" text="ATENC">
      <formula>NOT(ISERROR(SEARCH("ATENC",E7)))</formula>
    </cfRule>
    <cfRule type="containsText" priority="4" operator="containsText" dxfId="3" text="CRIT">
      <formula>NOT(ISERROR(SEARCH("CRIT",E7)))</formula>
    </cfRule>
  </conditionalFormatting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2" customWidth="1" min="3" max="3"/>
    <col width="13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7" customWidth="1" min="10" max="10"/>
    <col width="8" customWidth="1" min="11" max="11"/>
    <col width="10" customWidth="1" min="12" max="12"/>
    <col width="10" customWidth="1" min="13" max="13"/>
    <col width="8" customWidth="1" min="14" max="14"/>
    <col width="16" customWidth="1" min="15" max="15"/>
  </cols>
  <sheetData>
    <row r="1">
      <c r="A1" t="inlineStr">
        <is>
          <t>N°</t>
        </is>
      </c>
      <c r="B1" t="inlineStr">
        <is>
          <t>Fecha y hora</t>
        </is>
      </c>
      <c r="C1" t="inlineStr">
        <is>
          <t>Tipo / Causa</t>
        </is>
      </c>
      <c r="D1" t="inlineStr">
        <is>
          <t>T transf (ms)</t>
        </is>
      </c>
      <c r="E1" t="inlineStr">
        <is>
          <t>T retransf (ms)</t>
        </is>
      </c>
      <c r="F1" t="inlineStr">
        <is>
          <t>V red antes (V)</t>
        </is>
      </c>
      <c r="G1" t="inlineStr">
        <is>
          <t>V fuente entra (V)</t>
        </is>
      </c>
      <c r="H1" t="inlineStr">
        <is>
          <t>Corriente (A)</t>
        </is>
      </c>
      <c r="I1" t="inlineStr">
        <is>
          <t>Potencia (W)</t>
        </is>
      </c>
      <c r="J1" t="inlineStr">
        <is>
          <t>Pen.</t>
        </is>
      </c>
      <c r="K1" t="inlineStr">
        <is>
          <t>Score</t>
        </is>
      </c>
      <c r="L1" t="inlineStr">
        <is>
          <t>S (VA)</t>
        </is>
      </c>
      <c r="M1" t="inlineStr">
        <is>
          <t>Q (var)</t>
        </is>
      </c>
      <c r="N1" t="inlineStr">
        <is>
          <t>FP</t>
        </is>
      </c>
      <c r="O1" t="inlineStr">
        <is>
          <t>Sin suministro (s)</t>
        </is>
      </c>
    </row>
    <row r="2">
      <c r="A2" t="n">
        <v>1</v>
      </c>
      <c r="B2" t="inlineStr">
        <is>
          <t>2026-06-11 09:15:22</t>
        </is>
      </c>
      <c r="C2" t="inlineStr">
        <is>
          <t>Transferencia normal</t>
        </is>
      </c>
      <c r="D2" t="n">
        <v>3.4</v>
      </c>
      <c r="F2" t="n">
        <v>127.5</v>
      </c>
      <c r="G2" t="n">
        <v>127.3</v>
      </c>
      <c r="H2" t="n">
        <v>1.05</v>
      </c>
      <c r="I2" t="n">
        <v>93</v>
      </c>
      <c r="J2" t="n">
        <v>0</v>
      </c>
      <c r="K2" t="n">
        <v>100</v>
      </c>
      <c r="L2" t="n">
        <v>112</v>
      </c>
      <c r="M2" t="n">
        <v>5</v>
      </c>
      <c r="N2" t="n">
        <v>1</v>
      </c>
      <c r="O2" t="n">
        <v>0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9" customWidth="1" min="4" max="4"/>
    <col width="8" customWidth="1" min="5" max="5"/>
    <col width="10" customWidth="1" min="6" max="6"/>
    <col width="95" customWidth="1" min="7" max="7"/>
    <col width="8" customWidth="1" min="8" max="8"/>
  </cols>
  <sheetData>
    <row r="1">
      <c r="A1" t="inlineStr">
        <is>
          <t>Fecha y hora</t>
        </is>
      </c>
      <c r="B1" t="inlineStr">
        <is>
          <t>Fuente</t>
        </is>
      </c>
      <c r="C1" t="inlineStr">
        <is>
          <t>Cambio</t>
        </is>
      </c>
      <c r="D1" t="inlineStr">
        <is>
          <t>V</t>
        </is>
      </c>
      <c r="E1" t="inlineStr">
        <is>
          <t>Hz</t>
        </is>
      </c>
      <c r="F1" t="inlineStr">
        <is>
          <t>Duró (s)</t>
        </is>
      </c>
      <c r="G1" t="inlineStr">
        <is>
          <t>Diagnóstico probable</t>
        </is>
      </c>
      <c r="H1" t="inlineStr">
        <is>
          <t>FP</t>
        </is>
      </c>
    </row>
    <row r="2">
      <c r="A2" t="inlineStr">
        <is>
          <t>2026-06-11 09:14:02</t>
        </is>
      </c>
      <c r="B2" t="inlineStr">
        <is>
          <t>RED</t>
        </is>
      </c>
      <c r="C2" t="inlineStr">
        <is>
          <t>DESCONOCIDO → OK</t>
        </is>
      </c>
      <c r="D2" t="n">
        <v>127.4</v>
      </c>
      <c r="E2" t="n">
        <v>60.02</v>
      </c>
      <c r="G2" t="inlineStr">
        <is>
          <t>Fuente normalizada</t>
        </is>
      </c>
      <c r="H2" t="n">
        <v>1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sheetData>
    <row r="2">
      <c r="B2" s="22" t="inlineStr">
        <is>
          <t>Evolución del score (0–100) — subidas y bajadas por evento</t>
        </is>
      </c>
    </row>
    <row r="19" ht="20" customHeight="1">
      <c r="B19" s="23" t="n"/>
    </row>
    <row r="20" ht="46" customHeight="1">
      <c r="B20" s="23" t="inlineStr">
        <is>
          <t>Modelo: score por media móvil exponencial (EWMA) sobre la calidad de cada evento, con línea base robusta (mediana + IQR de 10 eventos). Normativa: ISO 17359 — monitoreo de condición de máquinas.</t>
        </is>
      </c>
    </row>
    <row r="22">
      <c r="B22" s="22" t="inlineStr">
        <is>
          <t>Tiempo de conmutación por evento en ms — escala logarítmica (curva de degradación)</t>
        </is>
      </c>
    </row>
    <row r="38" ht="26" customHeight="1">
      <c r="B38" s="23" t="n"/>
    </row>
    <row r="40" ht="46" customHeight="1">
      <c r="B40" s="23" t="inlineStr">
        <is>
          <t>Modelo: tendencia por filtro de Kalman (nivel y pendiente) + CUSUM para deterioro sostenido; vida útil por cruce del umbral 1.5× la base, con confianza 90%. Normativa: ISO 17359; tiempo de transferencia conforme a NFPA 110 (≤ 10 s).</t>
        </is>
      </c>
    </row>
  </sheetData>
  <mergeCells count="2">
    <mergeCell ref="B20:H20"/>
    <mergeCell ref="B40:H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2026-07-02T02:24:30Z</dcterms:created>
  <dcterms:modified xmlns:dcterms="http://purl.org/dc/terms/" xmlns:xsi="http://www.w3.org/2001/XMLSchema-instance" xsi:type="dcterms:W3CDTF">2026-07-03T16:23:20Z</dcterms:modified>
</cp:coreProperties>
</file>